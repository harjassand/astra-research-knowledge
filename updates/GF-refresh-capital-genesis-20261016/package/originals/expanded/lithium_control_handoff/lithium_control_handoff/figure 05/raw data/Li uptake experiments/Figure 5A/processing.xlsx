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LFPC project\data management\figure11\analysis\"/>
    </mc:Choice>
  </mc:AlternateContent>
  <xr:revisionPtr revIDLastSave="0" documentId="13_ncr:1_{49B70111-FE0C-4A7B-88AD-4D0377A4996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2" sheetId="5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1" i="5" l="1"/>
  <c r="J21" i="5"/>
  <c r="J23" i="5" s="1"/>
  <c r="E21" i="5"/>
  <c r="D21" i="5"/>
  <c r="D23" i="5" s="1"/>
  <c r="K19" i="5"/>
  <c r="J19" i="5"/>
  <c r="E19" i="5"/>
  <c r="D19" i="5"/>
  <c r="K17" i="5"/>
  <c r="J17" i="5"/>
  <c r="E17" i="5"/>
  <c r="D17" i="5"/>
  <c r="K15" i="5"/>
  <c r="J15" i="5"/>
  <c r="E15" i="5"/>
  <c r="D15" i="5"/>
  <c r="K13" i="5"/>
  <c r="J13" i="5"/>
  <c r="E13" i="5"/>
  <c r="D13" i="5"/>
  <c r="K11" i="5"/>
  <c r="J11" i="5"/>
  <c r="E11" i="5"/>
  <c r="D11" i="5"/>
  <c r="K9" i="5"/>
  <c r="J9" i="5"/>
  <c r="E9" i="5"/>
  <c r="D9" i="5"/>
  <c r="K7" i="5"/>
  <c r="J7" i="5"/>
  <c r="E7" i="5"/>
  <c r="D7" i="5"/>
  <c r="K5" i="5"/>
  <c r="J5" i="5"/>
  <c r="E5" i="5"/>
  <c r="D5" i="5"/>
  <c r="K3" i="5"/>
  <c r="J3" i="5"/>
  <c r="E3" i="5"/>
  <c r="D3" i="5"/>
</calcChain>
</file>

<file path=xl/sharedStrings.xml><?xml version="1.0" encoding="utf-8"?>
<sst xmlns="http://schemas.openxmlformats.org/spreadsheetml/2006/main" count="21" uniqueCount="11">
  <si>
    <t>LFPC</t>
  </si>
  <si>
    <t>1th</t>
  </si>
  <si>
    <t>2th</t>
  </si>
  <si>
    <t>3th</t>
  </si>
  <si>
    <t>4th</t>
  </si>
  <si>
    <t>5th</t>
  </si>
  <si>
    <t>6th</t>
  </si>
  <si>
    <t>7th</t>
  </si>
  <si>
    <t>8th</t>
  </si>
  <si>
    <t>9th</t>
  </si>
  <si>
    <t>10th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</si>
</sst>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DA8E2-D9C4-4B8F-B1FF-E03ADF2EE498}">
  <dimension ref="A1:K23"/>
  <sheetViews>
    <sheetView tabSelected="1" workbookViewId="0">
      <selection activeCell="D18" sqref="D18"/>
    </sheetView>
  </sheetViews>
  <sheetFormatPr defaultRowHeight="14.5" x14ac:dyDescent="0.35"/>
  <sheetData>
    <row r="1" spans="1:11" x14ac:dyDescent="0.35">
      <c r="A1" s="1" t="s">
        <v>0</v>
      </c>
      <c r="B1" s="1"/>
      <c r="C1" s="1"/>
      <c r="D1" s="1"/>
      <c r="E1" s="1"/>
    </row>
    <row r="2" spans="1:11" x14ac:dyDescent="0.35">
      <c r="A2" s="2" t="s">
        <v>1</v>
      </c>
      <c r="B2">
        <v>5.583333333333333</v>
      </c>
      <c r="C2">
        <v>21.599999999999998</v>
      </c>
      <c r="G2" s="2" t="s">
        <v>1</v>
      </c>
      <c r="H2">
        <v>5.706666666666667</v>
      </c>
      <c r="I2">
        <v>19.366666666666667</v>
      </c>
    </row>
    <row r="3" spans="1:11" x14ac:dyDescent="0.35">
      <c r="A3" s="2"/>
      <c r="B3">
        <v>10.086666666666668</v>
      </c>
      <c r="C3">
        <v>28.166666666666668</v>
      </c>
      <c r="D3">
        <f>(B3-B2)*0.1/0.158</f>
        <v>2.8502109704641359</v>
      </c>
      <c r="E3">
        <f>((B3-B2)/7)*2000/((C3-C2)/23)</f>
        <v>4506.5989847715728</v>
      </c>
      <c r="G3" s="2"/>
      <c r="H3">
        <v>8.73</v>
      </c>
      <c r="I3">
        <v>23.433333333333334</v>
      </c>
      <c r="J3">
        <f>(H3-H2)*0.1/0.158</f>
        <v>1.9135021097046414</v>
      </c>
      <c r="K3">
        <f>((H3-H2)/7)*2000/((I3-I2)/23)</f>
        <v>4885.4800936768152</v>
      </c>
    </row>
    <row r="4" spans="1:11" x14ac:dyDescent="0.35">
      <c r="A4" s="2" t="s">
        <v>2</v>
      </c>
      <c r="B4">
        <v>5.5500000000000007</v>
      </c>
      <c r="C4">
        <v>20.266666666666666</v>
      </c>
      <c r="G4" s="2" t="s">
        <v>2</v>
      </c>
      <c r="H4">
        <v>5.57</v>
      </c>
      <c r="I4">
        <v>18.866666666666667</v>
      </c>
    </row>
    <row r="5" spans="1:11" x14ac:dyDescent="0.35">
      <c r="A5" s="2"/>
      <c r="B5">
        <v>9.293333333333333</v>
      </c>
      <c r="C5">
        <v>31.666666666666668</v>
      </c>
      <c r="D5">
        <f>(B5-B4)*0.1/0.158</f>
        <v>2.3691983122362865</v>
      </c>
      <c r="E5">
        <f>((B5-B4)/7)*2000/((C5-C4)/23)</f>
        <v>2157.8111946532995</v>
      </c>
      <c r="G5" s="2"/>
      <c r="H5">
        <v>7.25</v>
      </c>
      <c r="I5">
        <v>24.7</v>
      </c>
      <c r="J5">
        <f>(H5-H4)*0.1/0.158</f>
        <v>1.0632911392405062</v>
      </c>
      <c r="K5">
        <f>((H5-H4)/7)*2000/((I5-I4)/23)</f>
        <v>1892.5714285714287</v>
      </c>
    </row>
    <row r="6" spans="1:11" x14ac:dyDescent="0.35">
      <c r="A6" s="2" t="s">
        <v>3</v>
      </c>
      <c r="B6">
        <v>5.6000000000000005</v>
      </c>
      <c r="C6">
        <v>19.933333333333334</v>
      </c>
      <c r="G6" s="2" t="s">
        <v>3</v>
      </c>
      <c r="H6">
        <v>5.6033333333333326</v>
      </c>
      <c r="I6">
        <v>22.8</v>
      </c>
    </row>
    <row r="7" spans="1:11" x14ac:dyDescent="0.35">
      <c r="A7" s="2"/>
      <c r="B7">
        <v>8.6766666666666676</v>
      </c>
      <c r="C7">
        <v>35.766666666666666</v>
      </c>
      <c r="D7">
        <f>(B7-B6)*0.1/0.158</f>
        <v>1.9472573839662453</v>
      </c>
      <c r="E7">
        <f>((B7-B6)/7)*2000/((C7-C6)/23)</f>
        <v>1276.932330827068</v>
      </c>
      <c r="G7" s="2"/>
      <c r="H7">
        <v>8.2100000000000009</v>
      </c>
      <c r="I7">
        <v>29.9</v>
      </c>
      <c r="J7">
        <f>(H7-H6)*0.1/0.158</f>
        <v>1.6497890295358659</v>
      </c>
      <c r="K7">
        <f>((H7-H6)/7)*2000/((I7-I6)/23)</f>
        <v>2412.6089872568768</v>
      </c>
    </row>
    <row r="8" spans="1:11" x14ac:dyDescent="0.35">
      <c r="A8" s="2" t="s">
        <v>4</v>
      </c>
      <c r="B8">
        <v>5.5649999999999995</v>
      </c>
      <c r="C8">
        <v>19.700000000000003</v>
      </c>
      <c r="G8" s="2" t="s">
        <v>4</v>
      </c>
      <c r="H8">
        <v>5.51</v>
      </c>
      <c r="I8">
        <v>18.399999999999999</v>
      </c>
    </row>
    <row r="9" spans="1:11" x14ac:dyDescent="0.35">
      <c r="A9" s="2"/>
      <c r="B9">
        <v>8.0033333333333339</v>
      </c>
      <c r="C9">
        <v>34.43333333333333</v>
      </c>
      <c r="D9">
        <f>(B9-B8)*0.1/0.158</f>
        <v>1.5432489451476801</v>
      </c>
      <c r="E9">
        <f>((B9-B8)/7)*2000/((C9-C8)/23)</f>
        <v>1087.5565610859737</v>
      </c>
      <c r="G9" s="2"/>
      <c r="H9">
        <v>6.7549999999999999</v>
      </c>
      <c r="I9">
        <v>22.333333333333332</v>
      </c>
      <c r="J9">
        <f>(H9-H8)*0.1/0.158</f>
        <v>0.78797468354430389</v>
      </c>
      <c r="K9">
        <f>((H9-H8)/7)*2000/((I9-I8)/23)</f>
        <v>2080.0242130750607</v>
      </c>
    </row>
    <row r="10" spans="1:11" x14ac:dyDescent="0.35">
      <c r="A10" s="2" t="s">
        <v>5</v>
      </c>
      <c r="B10">
        <v>5.47</v>
      </c>
      <c r="C10">
        <v>19.2</v>
      </c>
      <c r="G10" s="2" t="s">
        <v>5</v>
      </c>
      <c r="H10">
        <v>5.5149999999999997</v>
      </c>
      <c r="I10">
        <v>18</v>
      </c>
    </row>
    <row r="11" spans="1:11" x14ac:dyDescent="0.35">
      <c r="A11" s="2"/>
      <c r="B11">
        <v>7.5333333333333341</v>
      </c>
      <c r="C11">
        <v>35.499999999999993</v>
      </c>
      <c r="D11">
        <f>(B11-B10)*0.1/0.158</f>
        <v>1.3059071729957814</v>
      </c>
      <c r="E11">
        <f>((B11-B10)/7)*2000/((C11-C10)/23)</f>
        <v>831.84341221151101</v>
      </c>
      <c r="G11" s="2"/>
      <c r="H11">
        <v>7.1499999999999995</v>
      </c>
      <c r="I11">
        <v>25.400000000000002</v>
      </c>
      <c r="J11">
        <f>(H11-H10)*0.1/0.158</f>
        <v>1.0348101265822784</v>
      </c>
      <c r="K11">
        <f>((H11-H10)/7)*2000/((I11-I10)/23)</f>
        <v>1451.9305019305014</v>
      </c>
    </row>
    <row r="12" spans="1:11" x14ac:dyDescent="0.35">
      <c r="A12" s="2" t="s">
        <v>6</v>
      </c>
      <c r="B12">
        <v>5.4700000000000006</v>
      </c>
      <c r="C12">
        <v>20.399999999999999</v>
      </c>
      <c r="G12" s="2" t="s">
        <v>6</v>
      </c>
      <c r="H12">
        <v>5.45</v>
      </c>
      <c r="I12">
        <v>18.549999999999997</v>
      </c>
    </row>
    <row r="13" spans="1:11" x14ac:dyDescent="0.35">
      <c r="A13" s="2"/>
      <c r="B13">
        <v>6.6566666666666663</v>
      </c>
      <c r="C13">
        <v>35.066666666666663</v>
      </c>
      <c r="D13">
        <f>(B13-B12)*0.1/0.158</f>
        <v>0.75105485232067448</v>
      </c>
      <c r="E13">
        <f>((B13-B12)/7)*2000/((C13-C12)/23)</f>
        <v>531.68831168831127</v>
      </c>
      <c r="G13" s="2"/>
      <c r="H13">
        <v>6.97</v>
      </c>
      <c r="I13">
        <v>27</v>
      </c>
      <c r="J13">
        <f>(H13-H12)*0.1/0.158</f>
        <v>0.962025316455696</v>
      </c>
      <c r="K13">
        <f>((H13-H12)/7)*2000/((I13-I12)/23)</f>
        <v>1182.0794590025353</v>
      </c>
    </row>
    <row r="14" spans="1:11" x14ac:dyDescent="0.35">
      <c r="A14" s="2" t="s">
        <v>7</v>
      </c>
      <c r="B14">
        <v>5.49</v>
      </c>
      <c r="C14">
        <v>19.649999999999999</v>
      </c>
      <c r="G14" s="2" t="s">
        <v>7</v>
      </c>
      <c r="H14">
        <v>5.3849999999999998</v>
      </c>
      <c r="I14">
        <v>18.149999999999999</v>
      </c>
    </row>
    <row r="15" spans="1:11" x14ac:dyDescent="0.35">
      <c r="A15" s="2"/>
      <c r="B15">
        <v>6.6866666666666665</v>
      </c>
      <c r="C15">
        <v>37.233333333333334</v>
      </c>
      <c r="D15">
        <f>(B15-B14)*0.1/0.158</f>
        <v>0.75738396624472559</v>
      </c>
      <c r="E15">
        <f>((B15-B14)/7)*2000/((C15-C14)/23)</f>
        <v>447.23087339201066</v>
      </c>
      <c r="G15" s="2"/>
      <c r="H15">
        <v>6.81</v>
      </c>
      <c r="I15">
        <v>26.45</v>
      </c>
      <c r="J15">
        <f>(H15-H14)*0.1/0.158</f>
        <v>0.90189873417721511</v>
      </c>
      <c r="K15">
        <f>((H15-H14)/7)*2000/((I15-I14)/23)</f>
        <v>1128.2271944922545</v>
      </c>
    </row>
    <row r="16" spans="1:11" x14ac:dyDescent="0.35">
      <c r="A16" s="2" t="s">
        <v>8</v>
      </c>
      <c r="B16">
        <v>5.47</v>
      </c>
      <c r="C16">
        <v>19.549999999999997</v>
      </c>
      <c r="G16" s="2" t="s">
        <v>8</v>
      </c>
      <c r="H16">
        <v>5.3949999999999996</v>
      </c>
      <c r="I16">
        <v>18.45</v>
      </c>
    </row>
    <row r="17" spans="1:11" x14ac:dyDescent="0.35">
      <c r="A17" s="2"/>
      <c r="B17">
        <v>6.3866666666666667</v>
      </c>
      <c r="C17">
        <v>37.733333333333334</v>
      </c>
      <c r="D17">
        <f>(B17-B16)*0.1/0.158</f>
        <v>0.58016877637130826</v>
      </c>
      <c r="E17">
        <f>((B17-B16)/7)*2000/((C17-C16)/23)</f>
        <v>331.2819169831086</v>
      </c>
      <c r="G17" s="2"/>
      <c r="H17">
        <v>6.37</v>
      </c>
      <c r="I17">
        <v>26.3</v>
      </c>
      <c r="J17">
        <f>(H17-H16)*0.1/0.158</f>
        <v>0.61708860759493711</v>
      </c>
      <c r="K17">
        <f>((H17-H16)/7)*2000/((I17-I16)/23)</f>
        <v>816.19654231119227</v>
      </c>
    </row>
    <row r="18" spans="1:11" x14ac:dyDescent="0.35">
      <c r="A18" s="2" t="s">
        <v>9</v>
      </c>
      <c r="B18">
        <v>5.68</v>
      </c>
      <c r="C18">
        <v>21.35</v>
      </c>
      <c r="G18" s="2" t="s">
        <v>9</v>
      </c>
      <c r="H18">
        <v>5.6833333333333336</v>
      </c>
      <c r="I18">
        <v>20.066666666666666</v>
      </c>
    </row>
    <row r="19" spans="1:11" x14ac:dyDescent="0.35">
      <c r="A19" s="2"/>
      <c r="B19">
        <v>6.1400000000000006</v>
      </c>
      <c r="C19">
        <v>40.233333333333334</v>
      </c>
      <c r="D19">
        <f>(B19-B18)*0.1/0.158</f>
        <v>0.29113924050632967</v>
      </c>
      <c r="E19">
        <f>((B19-B18)/7)*2000/((C19-C18)/23)</f>
        <v>160.08069600302642</v>
      </c>
      <c r="G19" s="2"/>
      <c r="H19">
        <v>6.79</v>
      </c>
      <c r="I19">
        <v>28.633333333333336</v>
      </c>
      <c r="J19">
        <f>(H19-H18)*0.1/0.158</f>
        <v>0.70042194092826993</v>
      </c>
      <c r="K19">
        <f>((H19-H18)/7)*2000/((I19-I18)/23)</f>
        <v>848.91606448026641</v>
      </c>
    </row>
    <row r="20" spans="1:11" x14ac:dyDescent="0.35">
      <c r="A20" s="2" t="s">
        <v>10</v>
      </c>
      <c r="B20">
        <v>5.5433333333333339</v>
      </c>
      <c r="C20">
        <v>21.066666666666666</v>
      </c>
      <c r="G20" s="2" t="s">
        <v>10</v>
      </c>
      <c r="H20">
        <v>5.44</v>
      </c>
      <c r="I20">
        <v>18.533333333333331</v>
      </c>
    </row>
    <row r="21" spans="1:11" x14ac:dyDescent="0.35">
      <c r="A21" s="2"/>
      <c r="B21">
        <v>6.1349999999999998</v>
      </c>
      <c r="C21">
        <v>42.3</v>
      </c>
      <c r="D21">
        <f>(B21-B20)*0.1/0.158</f>
        <v>0.37447257383966198</v>
      </c>
      <c r="E21">
        <f>((B21-B20)/7)*2000/((C21-C20)/23)</f>
        <v>183.11280556178494</v>
      </c>
      <c r="G21" s="2"/>
      <c r="H21">
        <v>6.43</v>
      </c>
      <c r="I21">
        <v>27.5</v>
      </c>
      <c r="J21">
        <f>(H21-H20)*0.1/0.158</f>
        <v>0.62658227848101222</v>
      </c>
      <c r="K21">
        <f>((H21-H20)/7)*2000/((I21-I20)/23)</f>
        <v>725.54434413170407</v>
      </c>
    </row>
    <row r="23" spans="1:11" x14ac:dyDescent="0.35">
      <c r="D23">
        <f>D21*100/D3</f>
        <v>13.1384159881569</v>
      </c>
      <c r="J23">
        <f>J21*100/J3</f>
        <v>32.74531422271221</v>
      </c>
    </row>
  </sheetData>
  <mergeCells count="21">
    <mergeCell ref="A20:A21"/>
    <mergeCell ref="G20:G21"/>
    <mergeCell ref="A14:A15"/>
    <mergeCell ref="G14:G15"/>
    <mergeCell ref="A16:A17"/>
    <mergeCell ref="G16:G17"/>
    <mergeCell ref="A18:A19"/>
    <mergeCell ref="G18:G19"/>
    <mergeCell ref="A8:A9"/>
    <mergeCell ref="G8:G9"/>
    <mergeCell ref="A10:A11"/>
    <mergeCell ref="G10:G11"/>
    <mergeCell ref="A12:A13"/>
    <mergeCell ref="G12:G13"/>
    <mergeCell ref="A1:E1"/>
    <mergeCell ref="A2:A3"/>
    <mergeCell ref="G2:G3"/>
    <mergeCell ref="A4:A5"/>
    <mergeCell ref="G4:G5"/>
    <mergeCell ref="A6:A7"/>
    <mergeCell ref="G6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PresserGroup</dc:creator>
  <cp:lastModifiedBy>Bin Wang</cp:lastModifiedBy>
  <dcterms:created xsi:type="dcterms:W3CDTF">2015-06-05T18:17:20Z</dcterms:created>
  <dcterms:modified xsi:type="dcterms:W3CDTF">2026-03-22T12:12:59Z</dcterms:modified>
</cp:coreProperties>
</file>